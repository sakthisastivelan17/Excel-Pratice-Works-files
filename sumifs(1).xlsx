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th\Documents\PORTFOLIO(EXCEL,LOGO,MSWORD)\work2\"/>
    </mc:Choice>
  </mc:AlternateContent>
  <xr:revisionPtr revIDLastSave="0" documentId="13_ncr:1_{CA2116B0-A91D-4A20-9701-4C3C1A7241D3}" xr6:coauthVersionLast="47" xr6:coauthVersionMax="47" xr10:uidLastSave="{00000000-0000-0000-0000-000000000000}"/>
  <bookViews>
    <workbookView xWindow="-90" yWindow="0" windowWidth="10700" windowHeight="10170" activeTab="1" xr2:uid="{FA0964A7-4CE4-4180-A6F5-49D30ED16E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 l="1"/>
  <c r="F22" i="1"/>
  <c r="F20" i="1"/>
  <c r="F19" i="1"/>
  <c r="F18" i="1"/>
  <c r="F17" i="1"/>
</calcChain>
</file>

<file path=xl/sharedStrings.xml><?xml version="1.0" encoding="utf-8"?>
<sst xmlns="http://schemas.openxmlformats.org/spreadsheetml/2006/main" count="49" uniqueCount="23">
  <si>
    <t>Date</t>
  </si>
  <si>
    <t>Region</t>
  </si>
  <si>
    <t>Product</t>
  </si>
  <si>
    <t>Salesperson</t>
  </si>
  <si>
    <t>Quantity</t>
  </si>
  <si>
    <t>Amount</t>
  </si>
  <si>
    <t>North</t>
  </si>
  <si>
    <t>South</t>
  </si>
  <si>
    <t>East</t>
  </si>
  <si>
    <t>West</t>
  </si>
  <si>
    <t>Laptop</t>
  </si>
  <si>
    <t>Mouse</t>
  </si>
  <si>
    <t>Keyboard</t>
  </si>
  <si>
    <t>Alex</t>
  </si>
  <si>
    <t>Priya</t>
  </si>
  <si>
    <t>Rahul</t>
  </si>
  <si>
    <t>Sales Analysis</t>
  </si>
  <si>
    <t>Total Amount For the North Region:</t>
  </si>
  <si>
    <r>
      <t xml:space="preserve">Total </t>
    </r>
    <r>
      <rPr>
        <b/>
        <sz val="11"/>
        <color theme="1"/>
        <rFont val="Calibri"/>
        <family val="2"/>
        <scheme val="minor"/>
      </rPr>
      <t>Amount</t>
    </r>
    <r>
      <rPr>
        <sz val="11"/>
        <color theme="1"/>
        <rFont val="Calibri"/>
        <family val="2"/>
        <scheme val="minor"/>
      </rPr>
      <t xml:space="preserve"> sold by </t>
    </r>
    <r>
      <rPr>
        <b/>
        <sz val="11"/>
        <color theme="1"/>
        <rFont val="Calibri"/>
        <family val="2"/>
        <scheme val="minor"/>
      </rPr>
      <t>Alex:</t>
    </r>
  </si>
  <si>
    <r>
      <t xml:space="preserve">Total </t>
    </r>
    <r>
      <rPr>
        <b/>
        <sz val="11"/>
        <color theme="1"/>
        <rFont val="Calibri"/>
        <family val="2"/>
        <scheme val="minor"/>
      </rPr>
      <t>Amount</t>
    </r>
    <r>
      <rPr>
        <sz val="11"/>
        <color theme="1"/>
        <rFont val="Calibri"/>
        <family val="2"/>
        <scheme val="minor"/>
      </rPr>
      <t xml:space="preserve"> for product </t>
    </r>
    <r>
      <rPr>
        <b/>
        <sz val="11"/>
        <color theme="1"/>
        <rFont val="Calibri"/>
        <family val="2"/>
        <scheme val="minor"/>
      </rPr>
      <t>Laptop:</t>
    </r>
  </si>
  <si>
    <r>
      <t xml:space="preserve">Total </t>
    </r>
    <r>
      <rPr>
        <b/>
        <sz val="11"/>
        <color theme="1"/>
        <rFont val="Calibri"/>
        <family val="2"/>
        <scheme val="minor"/>
      </rPr>
      <t>Quantity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Mouse:</t>
    </r>
  </si>
  <si>
    <r>
      <t xml:space="preserve">Total </t>
    </r>
    <r>
      <rPr>
        <b/>
        <sz val="11"/>
        <color theme="1"/>
        <rFont val="Calibri"/>
        <family val="2"/>
        <scheme val="minor"/>
      </rPr>
      <t>Amount</t>
    </r>
    <r>
      <rPr>
        <sz val="11"/>
        <color theme="1"/>
        <rFont val="Calibri"/>
        <family val="2"/>
        <scheme val="minor"/>
      </rPr>
      <t xml:space="preserve"> where Amount is greater than </t>
    </r>
    <r>
      <rPr>
        <b/>
        <sz val="11"/>
        <color theme="1"/>
        <rFont val="Calibri"/>
        <family val="2"/>
        <scheme val="minor"/>
      </rPr>
      <t>20000:</t>
    </r>
  </si>
  <si>
    <r>
      <t xml:space="preserve">Total </t>
    </r>
    <r>
      <rPr>
        <b/>
        <sz val="11"/>
        <color theme="1"/>
        <rFont val="Calibri"/>
        <family val="2"/>
        <scheme val="minor"/>
      </rPr>
      <t>Amount</t>
    </r>
    <r>
      <rPr>
        <sz val="11"/>
        <color theme="1"/>
        <rFont val="Calibri"/>
        <family val="2"/>
        <scheme val="minor"/>
      </rPr>
      <t xml:space="preserve"> for the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region and product </t>
    </r>
    <r>
      <rPr>
        <b/>
        <sz val="11"/>
        <color theme="1"/>
        <rFont val="Calibri"/>
        <family val="2"/>
        <scheme val="minor"/>
      </rPr>
      <t>Keyboard: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</si>
</sst>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/>
    <xf numFmtId="0" fontId="0" fillId="0" borderId="0" xfId="0" applyAlignment="1"/>
    <xf numFmtId="0" fontId="0" fillId="3" borderId="1" xfId="0" applyFill="1" applyBorder="1"/>
  </cellXfs>
  <cellStyles count="1">
    <cellStyle name="Normal" xfId="0" builtinId="0"/>
  </cellStyles>
  <dxfs count="2">
    <dxf>
      <font>
        <b/>
      </font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FC829-0442-4E67-AA37-0AD343327159}" name="Table1" displayName="Table1" ref="A1:F13" headerRowDxfId="0">
  <autoFilter ref="A1:F13" xr:uid="{901FC829-0442-4E67-AA37-0AD343327159}"/>
  <tableColumns count="6">
    <tableColumn id="1" xr3:uid="{B53FCC5B-0C5D-48CB-8637-F39887538424}" name="Date" totalsRowLabel="Total" dataDxfId="1"/>
    <tableColumn id="2" xr3:uid="{2191ADF7-838C-47A2-ADD7-507B9A7191B3}" name="Region"/>
    <tableColumn id="3" xr3:uid="{EFDEA02F-510A-4545-AC2B-5F69F016EFD6}" name="Product"/>
    <tableColumn id="4" xr3:uid="{323DE867-9E47-4D92-9994-E04E03910F38}" name="Salesperson"/>
    <tableColumn id="5" xr3:uid="{EA21CBF9-B5F9-4CF7-BB01-2C1F598E5D7E}" name="Quantity"/>
    <tableColumn id="6" xr3:uid="{A007BDC8-4549-4793-B9CC-D082629ECDFC}" name="Amount" totalsRowFunction="sum"/>
  </tableColumns>
  <tableStyleInfo name="TableStyleLight9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9C97-CC7C-4638-B8CD-47C9AEF37D43}">
  <dimension ref="A1:F22"/>
  <sheetViews>
    <sheetView workbookViewId="0">
      <selection activeCell="G2" sqref="G2"/>
    </sheetView>
  </sheetViews>
  <sheetFormatPr defaultRowHeight="14.5" x14ac:dyDescent="0.35"/>
  <cols>
    <col min="1" max="1" width="9.7265625" bestFit="1" customWidth="1"/>
    <col min="3" max="3" width="9.453125" customWidth="1"/>
    <col min="4" max="4" width="12.81640625" customWidth="1"/>
    <col min="5" max="5" width="10.1796875" customWidth="1"/>
    <col min="6" max="6" width="9.6328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45662</v>
      </c>
      <c r="B2" t="s">
        <v>6</v>
      </c>
      <c r="C2" t="s">
        <v>10</v>
      </c>
      <c r="D2" t="s">
        <v>13</v>
      </c>
      <c r="E2">
        <v>5</v>
      </c>
      <c r="F2">
        <v>45000</v>
      </c>
    </row>
    <row r="3" spans="1:6" x14ac:dyDescent="0.35">
      <c r="A3" s="1">
        <v>45669</v>
      </c>
      <c r="B3" t="s">
        <v>7</v>
      </c>
      <c r="C3" t="s">
        <v>11</v>
      </c>
      <c r="D3" t="s">
        <v>14</v>
      </c>
      <c r="E3">
        <v>20</v>
      </c>
      <c r="F3">
        <v>8000</v>
      </c>
    </row>
    <row r="4" spans="1:6" x14ac:dyDescent="0.35">
      <c r="A4" s="1">
        <v>45675</v>
      </c>
      <c r="B4" t="s">
        <v>6</v>
      </c>
      <c r="C4" t="s">
        <v>10</v>
      </c>
      <c r="D4" t="s">
        <v>15</v>
      </c>
      <c r="E4">
        <v>3</v>
      </c>
      <c r="F4">
        <v>27000</v>
      </c>
    </row>
    <row r="5" spans="1:6" x14ac:dyDescent="0.35">
      <c r="A5" s="1">
        <v>45679</v>
      </c>
      <c r="B5" t="s">
        <v>8</v>
      </c>
      <c r="C5" t="s">
        <v>12</v>
      </c>
      <c r="D5" t="s">
        <v>13</v>
      </c>
      <c r="E5">
        <v>15</v>
      </c>
      <c r="F5">
        <v>12000</v>
      </c>
    </row>
    <row r="6" spans="1:6" x14ac:dyDescent="0.35">
      <c r="A6" s="1">
        <v>45662</v>
      </c>
      <c r="B6" t="s">
        <v>9</v>
      </c>
      <c r="C6" t="s">
        <v>10</v>
      </c>
      <c r="D6" t="s">
        <v>14</v>
      </c>
      <c r="E6">
        <v>4</v>
      </c>
      <c r="F6">
        <v>36000</v>
      </c>
    </row>
    <row r="7" spans="1:6" x14ac:dyDescent="0.35">
      <c r="A7" s="1">
        <v>45671</v>
      </c>
      <c r="B7" t="s">
        <v>6</v>
      </c>
      <c r="C7" t="s">
        <v>11</v>
      </c>
      <c r="D7" t="s">
        <v>15</v>
      </c>
      <c r="E7">
        <v>25</v>
      </c>
      <c r="F7">
        <v>10000</v>
      </c>
    </row>
    <row r="8" spans="1:6" x14ac:dyDescent="0.35">
      <c r="A8" s="1">
        <v>45708</v>
      </c>
      <c r="B8" t="s">
        <v>7</v>
      </c>
      <c r="C8" t="s">
        <v>12</v>
      </c>
      <c r="D8" t="s">
        <v>13</v>
      </c>
      <c r="E8">
        <v>10</v>
      </c>
      <c r="F8">
        <v>8000</v>
      </c>
    </row>
    <row r="9" spans="1:6" x14ac:dyDescent="0.35">
      <c r="A9" s="1">
        <v>45719</v>
      </c>
      <c r="B9" t="s">
        <v>8</v>
      </c>
      <c r="C9" t="s">
        <v>10</v>
      </c>
      <c r="D9" t="s">
        <v>14</v>
      </c>
      <c r="E9">
        <v>2</v>
      </c>
      <c r="F9">
        <v>18000</v>
      </c>
    </row>
    <row r="10" spans="1:6" x14ac:dyDescent="0.35">
      <c r="A10" s="1">
        <v>45731</v>
      </c>
      <c r="B10" t="s">
        <v>9</v>
      </c>
      <c r="C10" t="s">
        <v>11</v>
      </c>
      <c r="D10" t="s">
        <v>15</v>
      </c>
      <c r="E10">
        <v>30</v>
      </c>
      <c r="F10">
        <v>12000</v>
      </c>
    </row>
    <row r="11" spans="1:6" x14ac:dyDescent="0.35">
      <c r="A11" s="1">
        <v>45682</v>
      </c>
      <c r="B11" t="s">
        <v>6</v>
      </c>
      <c r="C11" t="s">
        <v>12</v>
      </c>
      <c r="D11" t="s">
        <v>13</v>
      </c>
      <c r="E11">
        <v>8</v>
      </c>
      <c r="F11">
        <v>6400</v>
      </c>
    </row>
    <row r="12" spans="1:6" x14ac:dyDescent="0.35">
      <c r="A12" s="1">
        <v>45755</v>
      </c>
      <c r="B12" t="s">
        <v>7</v>
      </c>
      <c r="C12" t="s">
        <v>10</v>
      </c>
      <c r="D12" t="s">
        <v>14</v>
      </c>
      <c r="E12">
        <v>6</v>
      </c>
      <c r="F12">
        <v>54000</v>
      </c>
    </row>
    <row r="13" spans="1:6" x14ac:dyDescent="0.35">
      <c r="A13" s="1">
        <v>45765</v>
      </c>
      <c r="B13" t="s">
        <v>8</v>
      </c>
      <c r="C13" t="s">
        <v>11</v>
      </c>
      <c r="D13" t="s">
        <v>15</v>
      </c>
      <c r="E13">
        <v>12</v>
      </c>
      <c r="F13">
        <v>4800</v>
      </c>
    </row>
    <row r="15" spans="1:6" x14ac:dyDescent="0.35">
      <c r="A15" s="3" t="s">
        <v>16</v>
      </c>
      <c r="B15" s="3"/>
    </row>
    <row r="17" spans="1:6" x14ac:dyDescent="0.35">
      <c r="A17" s="5" t="s">
        <v>17</v>
      </c>
      <c r="B17" s="5"/>
      <c r="C17" s="5"/>
      <c r="D17" s="5"/>
      <c r="E17" s="4"/>
      <c r="F17" s="6">
        <f>SUMIFS(Table1[Amount],Table1[Region],"North")</f>
        <v>88400</v>
      </c>
    </row>
    <row r="18" spans="1:6" x14ac:dyDescent="0.35">
      <c r="A18" s="5" t="s">
        <v>19</v>
      </c>
      <c r="B18" s="5"/>
      <c r="C18" s="5"/>
      <c r="D18" s="5"/>
      <c r="E18" s="4"/>
      <c r="F18" s="6">
        <f>SUMIFS(Table1[Amount],Table1[Product],"Laptop")</f>
        <v>180000</v>
      </c>
    </row>
    <row r="19" spans="1:6" x14ac:dyDescent="0.35">
      <c r="A19" s="5" t="s">
        <v>18</v>
      </c>
      <c r="B19" s="5"/>
      <c r="C19" s="5"/>
      <c r="D19" s="4"/>
      <c r="E19" s="4"/>
      <c r="F19" s="6">
        <f>SUMIFS(Table1[Amount],Table1[Salesperson],"Alex")</f>
        <v>71400</v>
      </c>
    </row>
    <row r="20" spans="1:6" x14ac:dyDescent="0.35">
      <c r="A20" s="5" t="s">
        <v>20</v>
      </c>
      <c r="B20" s="5"/>
      <c r="C20" s="5"/>
      <c r="D20" s="4"/>
      <c r="E20" s="4"/>
      <c r="F20" s="6">
        <f>SUMIFS(Table1[Amount],Table1[Product],"Mouse")</f>
        <v>34800</v>
      </c>
    </row>
    <row r="21" spans="1:6" x14ac:dyDescent="0.35">
      <c r="A21" s="5" t="s">
        <v>21</v>
      </c>
      <c r="B21" s="5"/>
      <c r="C21" s="5"/>
      <c r="D21" s="5"/>
      <c r="E21" s="5"/>
      <c r="F21" s="6">
        <f>SUMIFS(Table1[Amount],Table1[Amount],"&gt;20000")</f>
        <v>162000</v>
      </c>
    </row>
    <row r="22" spans="1:6" x14ac:dyDescent="0.35">
      <c r="A22" s="5" t="s">
        <v>22</v>
      </c>
      <c r="B22" s="5"/>
      <c r="C22" s="5"/>
      <c r="D22" s="5"/>
      <c r="E22" s="5"/>
      <c r="F22" s="6">
        <f>SUMIFS(Table1[Amount],Table1[Region],"South",Table1[Product],"Keyboard")</f>
        <v>8000</v>
      </c>
    </row>
  </sheetData>
  <mergeCells count="7">
    <mergeCell ref="A22:E22"/>
    <mergeCell ref="A18:D18"/>
    <mergeCell ref="A21:E21"/>
    <mergeCell ref="A15:B15"/>
    <mergeCell ref="A17:D17"/>
    <mergeCell ref="A19:C19"/>
    <mergeCell ref="A20:C2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7078-5AAA-4417-8426-B859CC8A1397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SASTI VELAN</dc:creator>
  <cp:lastModifiedBy>SAKTHI SASTI VELAN</cp:lastModifiedBy>
  <dcterms:created xsi:type="dcterms:W3CDTF">2026-09-26T13:18:15Z</dcterms:created>
  <dcterms:modified xsi:type="dcterms:W3CDTF">2026-09-26T14:07:08Z</dcterms:modified>
</cp:coreProperties>
</file>